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8800" windowHeight="17960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Modelo con Churn" sheetId="2" state="visible" r:id="rId2"/>
    <sheet xmlns:r="http://schemas.openxmlformats.org/officeDocument/2006/relationships" name="Funnel Marketing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#,##0.00\ \€"/>
    <numFmt numFmtId="165" formatCode="#,##0\ \€"/>
    <numFmt numFmtId="166" formatCode="#,##0\ \€;\(#,##0\ \€\);\-"/>
    <numFmt numFmtId="167" formatCode="&quot;€&quot;#,##0"/>
    <numFmt numFmtId="168" formatCode="&quot;€&quot;0.00"/>
    <numFmt numFmtId="169" formatCode="0.0%"/>
    <numFmt numFmtId="170" formatCode="&quot;↑&quot;#,##0;&quot;-&quot;#,##0;&quot;=&quot;"/>
  </numFmts>
  <fonts count="29">
    <font>
      <name val="Calibri"/>
      <family val="2"/>
      <color theme="1"/>
      <sz val="11"/>
      <scheme val="minor"/>
    </font>
    <font>
      <name val="Arial"/>
      <family val="2"/>
      <b val="1"/>
      <color rgb="FFFFFFFF"/>
      <sz val="13"/>
    </font>
    <font>
      <name val="Arial"/>
      <family val="2"/>
      <color rgb="FFC8A45A"/>
      <sz val="9"/>
    </font>
    <font>
      <name val="Arial"/>
      <family val="2"/>
      <b val="1"/>
      <color rgb="FFFFFFFF"/>
      <sz val="9"/>
    </font>
    <font>
      <name val="Arial"/>
      <family val="2"/>
      <color rgb="FF333333"/>
      <sz val="10"/>
    </font>
    <font>
      <name val="Arial"/>
      <family val="2"/>
      <color rgb="FF0000FF"/>
      <sz val="10"/>
    </font>
    <font>
      <name val="Arial"/>
      <family val="2"/>
      <i val="1"/>
      <color rgb="FF555555"/>
      <sz val="9"/>
    </font>
    <font>
      <name val="Arial"/>
      <family val="2"/>
      <i val="1"/>
      <color rgb="FF444444"/>
      <sz val="9"/>
    </font>
    <font>
      <name val="Arial"/>
      <family val="2"/>
      <b val="1"/>
      <color rgb="FFFFFFFF"/>
      <sz val="11"/>
    </font>
    <font>
      <name val="Arial"/>
      <family val="2"/>
      <b val="1"/>
      <color rgb="FF333333"/>
      <sz val="10"/>
    </font>
    <font>
      <name val="Arial"/>
      <family val="2"/>
      <color rgb="FF006400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color rgb="FF333333"/>
      <sz val="9"/>
    </font>
    <font>
      <name val="Arial"/>
      <family val="2"/>
      <color rgb="FF0000FF"/>
      <sz val="9"/>
    </font>
    <font>
      <name val="Calibri"/>
      <family val="2"/>
      <color theme="1"/>
      <sz val="9"/>
      <scheme val="minor"/>
    </font>
    <font>
      <name val="Calibri"/>
      <family val="2"/>
      <color theme="1"/>
      <sz val="8"/>
      <scheme val="minor"/>
    </font>
    <font>
      <name val="Arial"/>
      <b val="1"/>
      <color rgb="00F5E6C8"/>
      <sz val="14"/>
    </font>
    <font>
      <name val="Arial"/>
      <i val="1"/>
      <color rgb="00AAAAAA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666666"/>
      <sz val="8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F5E6C8"/>
      <sz val="12"/>
    </font>
    <font>
      <name val="Arial"/>
      <i val="1"/>
      <color rgb="00000000"/>
      <sz val="10"/>
    </font>
    <font>
      <name val="Arial"/>
      <b val="1"/>
      <color rgb="00FF0000"/>
      <sz val="10"/>
    </font>
    <font>
      <name val="Arial"/>
      <color rgb="00000000"/>
      <sz val="9"/>
    </font>
  </fonts>
  <fills count="27">
    <fill>
      <patternFill/>
    </fill>
    <fill>
      <patternFill patternType="gray125"/>
    </fill>
    <fill>
      <patternFill patternType="solid">
        <fgColor rgb="FF0F1023"/>
      </patternFill>
    </fill>
    <fill>
      <patternFill patternType="solid">
        <fgColor rgb="FF1A1A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BE6"/>
      </patternFill>
    </fill>
    <fill>
      <patternFill patternType="solid">
        <fgColor rgb="FF9A6F00"/>
      </patternFill>
    </fill>
    <fill>
      <patternFill patternType="solid">
        <fgColor rgb="FFFEF9E7"/>
      </patternFill>
    </fill>
    <fill>
      <patternFill patternType="solid">
        <fgColor rgb="FF1A7A3E"/>
      </patternFill>
    </fill>
    <fill>
      <patternFill patternType="solid">
        <fgColor rgb="FFB03030"/>
      </patternFill>
    </fill>
    <fill>
      <patternFill patternType="solid">
        <fgColor rgb="FF1F4E79"/>
      </patternFill>
    </fill>
    <fill>
      <patternFill patternType="solid">
        <fgColor rgb="FFE8F8EF"/>
      </patternFill>
    </fill>
    <fill>
      <patternFill patternType="solid">
        <fgColor rgb="FFEBF5FB"/>
      </patternFill>
    </fill>
    <fill>
      <patternFill patternType="solid">
        <fgColor rgb="FFF5F5F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001A1A2E"/>
        <bgColor rgb="001A1A2E"/>
      </patternFill>
    </fill>
    <fill>
      <patternFill patternType="solid">
        <fgColor rgb="003A3A4A"/>
        <bgColor rgb="003A3A4A"/>
      </patternFill>
    </fill>
    <fill>
      <patternFill patternType="solid">
        <fgColor rgb="00F0F0F0"/>
        <bgColor rgb="00F0F0F0"/>
      </patternFill>
    </fill>
    <fill>
      <patternFill patternType="solid">
        <fgColor rgb="00D8E6F5"/>
        <bgColor rgb="00D8E6F5"/>
      </patternFill>
    </fill>
    <fill>
      <patternFill patternType="solid">
        <fgColor rgb="00E8D8F5"/>
        <bgColor rgb="00E8D8F5"/>
      </patternFill>
    </fill>
    <fill>
      <patternFill patternType="solid">
        <fgColor rgb="00D0EDD8"/>
        <bgColor rgb="00D0EDD8"/>
      </patternFill>
    </fill>
    <fill>
      <patternFill patternType="solid">
        <fgColor rgb="002E4A7A"/>
        <bgColor rgb="002E4A7A"/>
      </patternFill>
    </fill>
    <fill>
      <patternFill patternType="solid">
        <fgColor rgb="005A2E7A"/>
        <bgColor rgb="005A2E7A"/>
      </patternFill>
    </fill>
    <fill>
      <patternFill patternType="solid">
        <fgColor rgb="001F6B45"/>
        <bgColor rgb="001F6B45"/>
      </patternFill>
    </fill>
    <fill>
      <patternFill patternType="solid">
        <fgColor rgb="00FFFF00"/>
        <bgColor rgb="00FFFF00"/>
      </patternFill>
    </fill>
    <fill>
      <patternFill patternType="solid">
        <fgColor rgb="00FFE0A0"/>
        <bgColor rgb="00FFE0A0"/>
      </patternFill>
    </fill>
  </fills>
  <borders count="1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F5F5F5"/>
      </left>
      <right style="thin">
        <color rgb="FFCCCCCC"/>
      </right>
      <top style="thin">
        <color rgb="FFF5F5F5"/>
      </top>
      <bottom style="thin">
        <color rgb="FFCCCCCC"/>
      </bottom>
      <diagonal/>
    </border>
    <border>
      <left/>
      <right/>
      <top style="thin">
        <color rgb="FFF5F5F5"/>
      </top>
      <bottom/>
      <diagonal/>
    </border>
    <border>
      <left/>
      <right style="thin">
        <color rgb="FFF5F5F5"/>
      </right>
      <top style="thin">
        <color rgb="FFF5F5F5"/>
      </top>
      <bottom/>
      <diagonal/>
    </border>
    <border>
      <left style="thin">
        <color rgb="FFF5F5F5"/>
      </left>
      <right style="thin">
        <color rgb="FFCCCCCC"/>
      </right>
      <top style="thin">
        <color rgb="FFCCCCCC"/>
      </top>
      <bottom style="thin">
        <color rgb="FFF5F5F5"/>
      </bottom>
      <diagonal/>
    </border>
    <border>
      <left/>
      <right/>
      <top/>
      <bottom style="thin">
        <color rgb="FFF5F5F5"/>
      </bottom>
      <diagonal/>
    </border>
    <border>
      <left/>
      <right style="thin">
        <color rgb="FFF5F5F5"/>
      </right>
      <top/>
      <bottom style="thin">
        <color rgb="FFF5F5F5"/>
      </bottom>
      <diagonal/>
    </border>
    <border>
      <left style="thin">
        <color rgb="FFCCCCCC"/>
      </left>
      <right style="thin">
        <color rgb="FFF5F5F5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F5F5F5"/>
      </bottom>
      <diagonal/>
    </border>
    <border>
      <left/>
      <right style="thin">
        <color rgb="FFF5F5F5"/>
      </right>
      <top style="thin">
        <color rgb="FFF5F5F5"/>
      </top>
      <bottom style="thin">
        <color rgb="FFF5F5F5"/>
      </bottom>
      <diagonal/>
    </border>
    <border>
      <left/>
      <right style="thin">
        <color rgb="FFF5F5F5"/>
      </right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9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right" vertical="center"/>
    </xf>
    <xf numFmtId="165" fontId="14" fillId="5" borderId="1" applyAlignment="1" pivotButton="0" quotePrefix="0" xfId="0">
      <alignment horizontal="right" vertical="center"/>
    </xf>
    <xf numFmtId="0" fontId="15" fillId="0" borderId="0" pivotButton="0" quotePrefix="0" xfId="0"/>
    <xf numFmtId="0" fontId="16" fillId="0" borderId="0" pivotButton="0" quotePrefix="0" xfId="0"/>
    <xf numFmtId="3" fontId="5" fillId="5" borderId="1" applyAlignment="1" pivotButton="0" quotePrefix="0" xfId="0">
      <alignment horizontal="center" vertical="center"/>
    </xf>
    <xf numFmtId="3" fontId="10" fillId="8" borderId="1" applyAlignment="1" pivotButton="0" quotePrefix="0" xfId="0">
      <alignment horizontal="center" vertical="center"/>
    </xf>
    <xf numFmtId="3" fontId="11" fillId="8" borderId="1" applyAlignment="1" pivotButton="0" quotePrefix="0" xfId="0">
      <alignment horizontal="center" vertical="center"/>
    </xf>
    <xf numFmtId="165" fontId="12" fillId="9" borderId="1" applyAlignment="1" pivotButton="0" quotePrefix="0" xfId="0">
      <alignment horizontal="center" vertical="center"/>
    </xf>
    <xf numFmtId="165" fontId="12" fillId="10" borderId="1" applyAlignment="1" pivotButton="0" quotePrefix="0" xfId="0">
      <alignment horizontal="center" vertical="center"/>
    </xf>
    <xf numFmtId="166" fontId="12" fillId="2" borderId="1" applyAlignment="1" pivotButton="0" quotePrefix="0" xfId="0">
      <alignment horizontal="center" vertical="center"/>
    </xf>
    <xf numFmtId="166" fontId="12" fillId="11" borderId="1" applyAlignment="1" pivotButton="0" quotePrefix="0" xfId="0">
      <alignment horizontal="center" vertical="center"/>
    </xf>
    <xf numFmtId="3" fontId="10" fillId="12" borderId="1" applyAlignment="1" pivotButton="0" quotePrefix="0" xfId="0">
      <alignment horizontal="center" vertical="center"/>
    </xf>
    <xf numFmtId="3" fontId="11" fillId="12" borderId="1" applyAlignment="1" pivotButton="0" quotePrefix="0" xfId="0">
      <alignment horizontal="center" vertical="center"/>
    </xf>
    <xf numFmtId="3" fontId="10" fillId="13" borderId="1" applyAlignment="1" pivotButton="0" quotePrefix="0" xfId="0">
      <alignment horizontal="center" vertical="center"/>
    </xf>
    <xf numFmtId="3" fontId="11" fillId="13" borderId="1" applyAlignment="1" pivotButton="0" quotePrefix="0" xfId="0">
      <alignment horizontal="center" vertical="center"/>
    </xf>
    <xf numFmtId="3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center" vertical="center"/>
    </xf>
    <xf numFmtId="49" fontId="6" fillId="5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left" vertical="center"/>
    </xf>
    <xf numFmtId="9" fontId="14" fillId="5" borderId="4" applyAlignment="1" pivotButton="0" quotePrefix="0" xfId="0">
      <alignment horizontal="center" vertical="center"/>
    </xf>
    <xf numFmtId="0" fontId="6" fillId="14" borderId="5" applyAlignment="1" pivotButton="0" quotePrefix="0" xfId="0">
      <alignment horizontal="left" vertical="center"/>
    </xf>
    <xf numFmtId="0" fontId="15" fillId="14" borderId="6" pivotButton="0" quotePrefix="0" xfId="0"/>
    <xf numFmtId="0" fontId="6" fillId="14" borderId="8" applyAlignment="1" pivotButton="0" quotePrefix="0" xfId="0">
      <alignment horizontal="left" vertical="center"/>
    </xf>
    <xf numFmtId="0" fontId="15" fillId="14" borderId="9" pivotButton="0" quotePrefix="0" xfId="0"/>
    <xf numFmtId="0" fontId="0" fillId="0" borderId="6" pivotButton="0" quotePrefix="0" xfId="0"/>
    <xf numFmtId="0" fontId="15" fillId="0" borderId="6" pivotButton="0" quotePrefix="0" xfId="0"/>
    <xf numFmtId="9" fontId="14" fillId="5" borderId="11" applyAlignment="1" pivotButton="0" quotePrefix="0" xfId="0">
      <alignment horizontal="center" vertical="center"/>
    </xf>
    <xf numFmtId="0" fontId="15" fillId="0" borderId="12" pivotButton="0" quotePrefix="0" xfId="0"/>
    <xf numFmtId="165" fontId="5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8" fillId="11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/>
    </xf>
    <xf numFmtId="0" fontId="16" fillId="14" borderId="6" applyAlignment="1" pivotButton="0" quotePrefix="0" xfId="0">
      <alignment horizontal="center" vertical="top" wrapText="1"/>
    </xf>
    <xf numFmtId="0" fontId="16" fillId="14" borderId="7" applyAlignment="1" pivotButton="0" quotePrefix="0" xfId="0">
      <alignment horizontal="center" vertical="top" wrapText="1"/>
    </xf>
    <xf numFmtId="0" fontId="16" fillId="14" borderId="9" applyAlignment="1" pivotButton="0" quotePrefix="0" xfId="0">
      <alignment horizontal="center" vertical="top" wrapText="1"/>
    </xf>
    <xf numFmtId="0" fontId="16" fillId="14" borderId="10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center"/>
    </xf>
    <xf numFmtId="166" fontId="12" fillId="15" borderId="1" applyAlignment="1" pivotButton="0" quotePrefix="0" xfId="0">
      <alignment horizontal="center" vertical="center"/>
    </xf>
    <xf numFmtId="0" fontId="16" fillId="14" borderId="13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17" fillId="16" borderId="0" applyAlignment="1" pivotButton="0" quotePrefix="0" xfId="0">
      <alignment horizontal="center" vertical="center"/>
    </xf>
    <xf numFmtId="0" fontId="18" fillId="16" borderId="0" applyAlignment="1" pivotButton="0" quotePrefix="0" xfId="0">
      <alignment horizontal="center" vertical="center"/>
    </xf>
    <xf numFmtId="0" fontId="19" fillId="17" borderId="0" applyAlignment="1" pivotButton="0" quotePrefix="0" xfId="0">
      <alignment horizontal="left" vertical="center"/>
    </xf>
    <xf numFmtId="0" fontId="20" fillId="18" borderId="17" applyAlignment="1" pivotButton="0" quotePrefix="0" xfId="0">
      <alignment horizontal="left" vertical="center"/>
    </xf>
    <xf numFmtId="0" fontId="20" fillId="18" borderId="17" applyAlignment="1" pivotButton="0" quotePrefix="0" xfId="0">
      <alignment horizontal="center" vertical="center"/>
    </xf>
    <xf numFmtId="0" fontId="21" fillId="19" borderId="17" applyAlignment="1" pivotButton="0" quotePrefix="0" xfId="0">
      <alignment horizontal="left" vertical="center"/>
    </xf>
    <xf numFmtId="167" fontId="21" fillId="19" borderId="17" applyAlignment="1" pivotButton="0" quotePrefix="0" xfId="0">
      <alignment horizontal="center" vertical="center"/>
    </xf>
    <xf numFmtId="9" fontId="21" fillId="19" borderId="17" applyAlignment="1" pivotButton="0" quotePrefix="0" xfId="0">
      <alignment horizontal="center" vertical="center"/>
    </xf>
    <xf numFmtId="0" fontId="21" fillId="20" borderId="17" applyAlignment="1" pivotButton="0" quotePrefix="0" xfId="0">
      <alignment horizontal="left" vertical="center"/>
    </xf>
    <xf numFmtId="167" fontId="21" fillId="20" borderId="17" applyAlignment="1" pivotButton="0" quotePrefix="0" xfId="0">
      <alignment horizontal="center" vertical="center"/>
    </xf>
    <xf numFmtId="9" fontId="21" fillId="20" borderId="17" applyAlignment="1" pivotButton="0" quotePrefix="0" xfId="0">
      <alignment horizontal="center" vertical="center"/>
    </xf>
    <xf numFmtId="0" fontId="21" fillId="21" borderId="17" applyAlignment="1" pivotButton="0" quotePrefix="0" xfId="0">
      <alignment horizontal="left" vertical="center"/>
    </xf>
    <xf numFmtId="167" fontId="21" fillId="21" borderId="17" applyAlignment="1" pivotButton="0" quotePrefix="0" xfId="0">
      <alignment horizontal="center" vertical="center"/>
    </xf>
    <xf numFmtId="9" fontId="21" fillId="21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horizontal="left" vertical="center"/>
    </xf>
    <xf numFmtId="167" fontId="20" fillId="0" borderId="17" applyAlignment="1" pivotButton="0" quotePrefix="0" xfId="0">
      <alignment horizontal="center" vertical="center"/>
    </xf>
    <xf numFmtId="9" fontId="20" fillId="0" borderId="17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vertical="center"/>
    </xf>
    <xf numFmtId="0" fontId="23" fillId="22" borderId="0" applyAlignment="1" pivotButton="0" quotePrefix="0" xfId="0">
      <alignment horizontal="center" vertical="center"/>
    </xf>
    <xf numFmtId="0" fontId="23" fillId="23" borderId="0" applyAlignment="1" pivotButton="0" quotePrefix="0" xfId="0">
      <alignment horizontal="center" vertical="center"/>
    </xf>
    <xf numFmtId="0" fontId="23" fillId="24" borderId="0" applyAlignment="1" pivotButton="0" quotePrefix="0" xfId="0">
      <alignment horizontal="center" vertical="center"/>
    </xf>
    <xf numFmtId="0" fontId="20" fillId="19" borderId="17" applyAlignment="1" pivotButton="0" quotePrefix="0" xfId="0">
      <alignment horizontal="center" vertical="center"/>
    </xf>
    <xf numFmtId="0" fontId="20" fillId="20" borderId="17" applyAlignment="1" pivotButton="0" quotePrefix="0" xfId="0">
      <alignment horizontal="center" vertical="center"/>
    </xf>
    <xf numFmtId="0" fontId="20" fillId="21" borderId="17" applyAlignment="1" pivotButton="0" quotePrefix="0" xfId="0">
      <alignment horizontal="center" vertical="center"/>
    </xf>
    <xf numFmtId="0" fontId="21" fillId="0" borderId="17" applyAlignment="1" pivotButton="0" quotePrefix="0" xfId="0">
      <alignment horizontal="left" vertical="center" wrapText="1"/>
    </xf>
    <xf numFmtId="168" fontId="24" fillId="25" borderId="17" applyAlignment="1" pivotButton="0" quotePrefix="0" xfId="0">
      <alignment horizontal="center" vertical="center"/>
    </xf>
    <xf numFmtId="3" fontId="24" fillId="25" borderId="17" applyAlignment="1" pivotButton="0" quotePrefix="0" xfId="0">
      <alignment horizontal="center" vertical="center"/>
    </xf>
    <xf numFmtId="167" fontId="21" fillId="0" borderId="17" applyAlignment="1" pivotButton="0" quotePrefix="0" xfId="0">
      <alignment horizontal="center" vertical="center"/>
    </xf>
    <xf numFmtId="169" fontId="24" fillId="25" borderId="17" applyAlignment="1" pivotButton="0" quotePrefix="0" xfId="0">
      <alignment horizontal="center" vertical="center"/>
    </xf>
    <xf numFmtId="3" fontId="21" fillId="0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horizontal="left" vertical="center" wrapText="1"/>
    </xf>
    <xf numFmtId="3" fontId="20" fillId="26" borderId="17" applyAlignment="1" pivotButton="0" quotePrefix="0" xfId="0">
      <alignment horizontal="center" vertical="center"/>
    </xf>
    <xf numFmtId="0" fontId="25" fillId="16" borderId="0" applyAlignment="1" pivotButton="0" quotePrefix="0" xfId="0">
      <alignment horizontal="center" vertical="center"/>
    </xf>
    <xf numFmtId="0" fontId="19" fillId="17" borderId="17" applyAlignment="1" pivotButton="0" quotePrefix="0" xfId="0">
      <alignment horizontal="center" vertical="center"/>
    </xf>
    <xf numFmtId="3" fontId="21" fillId="19" borderId="17" applyAlignment="1" pivotButton="0" quotePrefix="0" xfId="0">
      <alignment horizontal="center" vertical="center"/>
    </xf>
    <xf numFmtId="3" fontId="21" fillId="20" borderId="17" applyAlignment="1" pivotButton="0" quotePrefix="0" xfId="0">
      <alignment horizontal="center" vertical="center"/>
    </xf>
    <xf numFmtId="3" fontId="21" fillId="21" borderId="17" applyAlignment="1" pivotButton="0" quotePrefix="0" xfId="0">
      <alignment horizontal="center" vertical="center"/>
    </xf>
    <xf numFmtId="3" fontId="20" fillId="0" borderId="17" applyAlignment="1" pivotButton="0" quotePrefix="0" xfId="0">
      <alignment horizontal="center" vertical="center"/>
    </xf>
    <xf numFmtId="0" fontId="26" fillId="0" borderId="17" applyAlignment="1" pivotButton="0" quotePrefix="0" xfId="0">
      <alignment horizontal="left" vertical="center"/>
    </xf>
    <xf numFmtId="0" fontId="21" fillId="0" borderId="17" applyAlignment="1" pivotButton="0" quotePrefix="0" xfId="0">
      <alignment horizontal="center" vertical="center"/>
    </xf>
    <xf numFmtId="3" fontId="27" fillId="0" borderId="17" applyAlignment="1" pivotButton="0" quotePrefix="0" xfId="0">
      <alignment horizontal="center" vertical="center"/>
    </xf>
    <xf numFmtId="170" fontId="26" fillId="0" borderId="17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3"/>
  <sheetViews>
    <sheetView tabSelected="1" workbookViewId="0">
      <selection activeCell="M18" sqref="M18"/>
    </sheetView>
  </sheetViews>
  <sheetFormatPr baseColWidth="10" defaultColWidth="8.83203125" defaultRowHeight="15"/>
  <cols>
    <col width="2" customWidth="1" min="1" max="1"/>
    <col width="38" customWidth="1" min="2" max="2"/>
    <col width="20" customWidth="1" min="3" max="3"/>
    <col width="10.1640625" customWidth="1" min="4" max="4"/>
    <col width="13.1640625" customWidth="1" min="9" max="9"/>
  </cols>
  <sheetData>
    <row r="1" ht="17" customHeight="1">
      <c r="B1" s="50" t="inlineStr">
        <is>
          <t>ARISTOMAS</t>
        </is>
      </c>
      <c r="C1" s="51" t="n"/>
      <c r="D1" s="52" t="n"/>
    </row>
    <row r="2">
      <c r="B2" s="56" t="inlineStr">
        <is>
          <t>Origen: análisis fundador + Claude · Los números del chat son los que mandan</t>
        </is>
      </c>
      <c r="C2" s="51" t="n"/>
      <c r="D2" s="52" t="n"/>
    </row>
    <row r="4">
      <c r="B4" s="64" t="inlineStr">
        <is>
          <t>Parámetro</t>
        </is>
      </c>
      <c r="C4" s="64" t="inlineStr">
        <is>
          <t>Valor</t>
        </is>
      </c>
      <c r="D4" s="64" t="inlineStr">
        <is>
          <t>Origen y nota del chat</t>
        </is>
      </c>
    </row>
    <row r="5">
      <c r="B5" s="64" t="inlineStr">
        <is>
          <t xml:space="preserve">  PRECIOS</t>
        </is>
      </c>
      <c r="C5" s="51" t="n"/>
      <c r="D5" s="52" t="n"/>
    </row>
    <row r="6">
      <c r="B6" s="2" t="inlineStr">
        <is>
          <t>Ciclo suelto</t>
        </is>
      </c>
      <c r="C6" s="3" t="n">
        <v>9.99</v>
      </c>
      <c r="D6" s="4" t="n"/>
    </row>
    <row r="7">
      <c r="B7" s="2" t="inlineStr">
        <is>
          <t>Suscripción mensual</t>
        </is>
      </c>
      <c r="C7" s="3" t="n">
        <v>12.99</v>
      </c>
      <c r="D7" s="4" t="n"/>
    </row>
    <row r="8">
      <c r="B8" s="2" t="inlineStr">
        <is>
          <t>Suscripción anual</t>
        </is>
      </c>
      <c r="C8" s="3" t="n">
        <v>99.98999999999999</v>
      </c>
      <c r="D8" s="4" t="n"/>
    </row>
    <row r="9">
      <c r="B9" s="2" t="inlineStr">
        <is>
          <t>Precio pionero</t>
        </is>
      </c>
      <c r="C9" s="3" t="n">
        <v>69.98999999999999</v>
      </c>
      <c r="D9" s="4" t="n"/>
    </row>
    <row r="10">
      <c r="B10" s="64" t="inlineStr">
        <is>
          <t xml:space="preserve">  ARPU</t>
        </is>
      </c>
      <c r="C10" s="51" t="n"/>
      <c r="D10" s="52" t="n"/>
    </row>
    <row r="11">
      <c r="B11" s="2" t="inlineStr">
        <is>
          <t>ARPU neto IVA acordado</t>
        </is>
      </c>
      <c r="C11" s="3" t="n">
        <v>83</v>
      </c>
      <c r="D11" s="4" t="n"/>
    </row>
    <row r="12">
      <c r="B12" s="2" t="inlineStr">
        <is>
          <t>IVA</t>
        </is>
      </c>
      <c r="C12" s="5" t="n">
        <v>0.21</v>
      </c>
      <c r="D12" s="4" t="n"/>
    </row>
    <row r="13">
      <c r="B13" s="64" t="inlineStr">
        <is>
          <t xml:space="preserve">  CHURN</t>
        </is>
      </c>
      <c r="C13" s="51" t="n"/>
      <c r="D13" s="52" t="n"/>
    </row>
    <row r="14">
      <c r="B14" s="2" t="inlineStr">
        <is>
          <t>Churn anual</t>
        </is>
      </c>
      <c r="C14" s="5" t="n">
        <v>0.25</v>
      </c>
      <c r="D14" s="4" t="n"/>
    </row>
    <row r="15">
      <c r="B15" s="2" t="inlineStr">
        <is>
          <t>Retention anual</t>
        </is>
      </c>
      <c r="C15" s="5" t="n">
        <v>0.75</v>
      </c>
      <c r="D15" s="38" t="n"/>
    </row>
    <row r="16">
      <c r="B16" s="64" t="inlineStr">
        <is>
          <t xml:space="preserve">  COSTES AÑO 1</t>
        </is>
      </c>
      <c r="C16" s="51" t="n"/>
      <c r="D16" s="52" t="n"/>
    </row>
    <row r="17">
      <c r="B17" s="2" t="inlineStr">
        <is>
          <t>Plataforma tecnológica</t>
        </is>
      </c>
      <c r="C17" s="6" t="n">
        <v>25000</v>
      </c>
      <c r="D17" s="4" t="n"/>
    </row>
    <row r="18">
      <c r="B18" s="2" t="inlineStr">
        <is>
          <t>Marketing campañas</t>
        </is>
      </c>
      <c r="C18" s="49" t="n">
        <v>40000</v>
      </c>
      <c r="D18" s="4" t="n"/>
    </row>
    <row r="19">
      <c r="B19" s="2" t="inlineStr">
        <is>
          <t>Producción contenido/vídeo</t>
        </is>
      </c>
      <c r="C19" s="6" t="n">
        <v>17500</v>
      </c>
      <c r="D19" s="4" t="n"/>
    </row>
    <row r="20">
      <c r="B20" s="2" t="inlineStr">
        <is>
          <t>VirtuManagers (arranque)</t>
        </is>
      </c>
      <c r="C20" s="6" t="n">
        <v>3000</v>
      </c>
      <c r="D20" s="4" t="n"/>
    </row>
    <row r="21">
      <c r="B21" s="39" t="inlineStr">
        <is>
          <t>Todo terreno/operaciones</t>
        </is>
      </c>
      <c r="C21" s="6" t="n">
        <v>20000</v>
      </c>
      <c r="D21" s="4" t="n"/>
    </row>
    <row r="22">
      <c r="B22" s="2" t="inlineStr">
        <is>
          <t xml:space="preserve">Seg Social </t>
        </is>
      </c>
      <c r="C22" s="6" t="n">
        <v>6000</v>
      </c>
      <c r="D22" s="4" t="n"/>
    </row>
    <row r="23">
      <c r="B23" s="2" t="inlineStr">
        <is>
          <t>Legal + constitución</t>
        </is>
      </c>
      <c r="C23" s="6" t="n">
        <v>3000</v>
      </c>
      <c r="D23" s="4" t="n"/>
    </row>
    <row r="24">
      <c r="B24" s="2" t="inlineStr">
        <is>
          <t>Diseño, marca, otros</t>
        </is>
      </c>
      <c r="C24" s="6" t="n">
        <v>2500</v>
      </c>
      <c r="D24" s="4" t="n"/>
    </row>
    <row r="25">
      <c r="B25" s="2" t="inlineStr">
        <is>
          <t>Imprevistos (~7%)</t>
        </is>
      </c>
      <c r="C25" s="6" t="n">
        <v>3000</v>
      </c>
      <c r="D25" s="4" t="n"/>
    </row>
    <row r="26">
      <c r="B26" s="2" t="inlineStr">
        <is>
          <t>TOTAL COSTES AÑO 1</t>
        </is>
      </c>
      <c r="C26" s="6">
        <f>SUM(C17:C25)</f>
        <v/>
      </c>
      <c r="D26" s="4" t="n"/>
    </row>
    <row r="27">
      <c r="B27" s="64" t="inlineStr">
        <is>
          <t xml:space="preserve">  ESTRUCTURA</t>
        </is>
      </c>
      <c r="C27" s="51" t="n"/>
      <c r="D27" s="52" t="n"/>
    </row>
    <row r="28">
      <c r="B28" s="2" t="inlineStr">
        <is>
          <t>Valoración ATM45 pre-money</t>
        </is>
      </c>
      <c r="C28" s="6" t="n">
        <v>300000</v>
      </c>
      <c r="D28" s="4" t="inlineStr">
        <is>
          <t>Acordado en chat</t>
        </is>
      </c>
    </row>
    <row r="29">
      <c r="B29" s="2" t="inlineStr">
        <is>
          <t>Inversores cash (33%)</t>
        </is>
      </c>
      <c r="C29" s="6" t="n">
        <v>99000</v>
      </c>
      <c r="D29" s="4" t="inlineStr">
        <is>
          <t>33% × 300k = 99.000€</t>
        </is>
      </c>
    </row>
    <row r="30">
      <c r="B30" s="20" t="inlineStr">
        <is>
          <t>Anchor investor</t>
        </is>
      </c>
      <c r="C30" s="21" t="n">
        <v>22500</v>
      </c>
      <c r="D30" s="4" t="inlineStr">
        <is>
          <t>7,5% ATM45 · 22.500€ · entrada previa a ronda 1</t>
        </is>
      </c>
      <c r="E30" s="48" t="n"/>
      <c r="F30" s="22" t="n"/>
      <c r="G30" s="23" t="n"/>
    </row>
    <row r="31">
      <c r="B31" s="20" t="inlineStr">
        <is>
          <t>VirtuManagers equity</t>
        </is>
      </c>
      <c r="C31" s="21" t="n">
        <v>21000</v>
      </c>
      <c r="D31" s="47" t="n">
        <v>0.07000000000000001</v>
      </c>
      <c r="E31" s="41" t="inlineStr">
        <is>
          <t>7% total (7 × 1%)</t>
        </is>
      </c>
      <c r="F31" s="42" t="n"/>
      <c r="G31" s="66" t="inlineStr">
        <is>
          <t>Si pagamos a estos podemos disponer de un 11% para inversores (dejamos al Director Filosófico dentro)</t>
        </is>
      </c>
      <c r="H31" s="45" t="n"/>
      <c r="I31" s="67" t="n"/>
    </row>
    <row r="32">
      <c r="B32" s="20" t="inlineStr">
        <is>
          <t>Influencers equity</t>
        </is>
      </c>
      <c r="C32" s="21" t="n">
        <v>15000</v>
      </c>
      <c r="D32" s="40" t="n">
        <v>0.05</v>
      </c>
      <c r="E32" s="43" t="inlineStr">
        <is>
          <t>5% total (5 × 1%)</t>
        </is>
      </c>
      <c r="F32" s="44" t="n"/>
      <c r="G32" s="68" t="n"/>
      <c r="H32" s="68" t="n"/>
      <c r="I32" s="69" t="n"/>
    </row>
    <row r="33">
      <c r="B33" s="20" t="inlineStr">
        <is>
          <t>Resto inversores</t>
        </is>
      </c>
      <c r="C33" s="21">
        <f>C29-C30-C31-C32</f>
        <v/>
      </c>
      <c r="D33" s="22" t="n"/>
      <c r="E33" s="22" t="n"/>
      <c r="F33" s="46" t="n"/>
      <c r="G33" s="23" t="n"/>
      <c r="I33" s="45" t="n"/>
    </row>
  </sheetData>
  <mergeCells count="8">
    <mergeCell ref="B10:D10"/>
    <mergeCell ref="G31:I32"/>
    <mergeCell ref="B5:D5"/>
    <mergeCell ref="B1:D1"/>
    <mergeCell ref="B16:D16"/>
    <mergeCell ref="B27:D27"/>
    <mergeCell ref="B13:D1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46"/>
  <sheetViews>
    <sheetView topLeftCell="A6" workbookViewId="0">
      <selection activeCell="Q28" sqref="Q28"/>
    </sheetView>
  </sheetViews>
  <sheetFormatPr baseColWidth="10" defaultColWidth="8.83203125" defaultRowHeight="15"/>
  <cols>
    <col width="2" customWidth="1" min="1" max="1"/>
    <col width="38" customWidth="1" min="2" max="2"/>
    <col width="11.83203125" customWidth="1" min="3" max="7"/>
  </cols>
  <sheetData>
    <row r="1" ht="17" customHeight="1">
      <c r="B1" s="50" t="inlineStr">
        <is>
          <t>ARISTOMAS · Modelo P&amp;L con Churn 25% · 3 Escenarios · Años 1–5</t>
        </is>
      </c>
      <c r="C1" s="51" t="n"/>
      <c r="D1" s="51" t="n"/>
      <c r="E1" s="51" t="n"/>
      <c r="F1" s="51" t="n"/>
      <c r="G1" s="52" t="n"/>
    </row>
    <row r="2">
      <c r="B2" s="56" t="inlineStr">
        <is>
          <t>ARPU neto: 83€ · Churn: 25%/año · Método: usuarios = (prev × 0,75) + nuevos</t>
        </is>
      </c>
      <c r="C2" s="51" t="n"/>
      <c r="D2" s="51" t="n"/>
      <c r="E2" s="51" t="n"/>
      <c r="F2" s="51" t="n"/>
      <c r="G2" s="52" t="n"/>
    </row>
    <row r="3">
      <c r="B3" s="55" t="inlineStr">
        <is>
          <t>OPTIMISTA: números exactos del chat · MODERADO y CONSERVADOR: misma metodología, menor captación (pendiente validar)</t>
        </is>
      </c>
      <c r="C3" s="51" t="n"/>
      <c r="D3" s="51" t="n"/>
      <c r="E3" s="51" t="n"/>
      <c r="F3" s="51" t="n"/>
      <c r="G3" s="52" t="n"/>
    </row>
    <row r="5">
      <c r="B5" s="59" t="inlineStr">
        <is>
          <t>NUEVOS USUARIOS CAPTADOS CADA AÑO (inputs del modelo)</t>
        </is>
      </c>
      <c r="C5" s="51" t="n"/>
      <c r="D5" s="51" t="n"/>
      <c r="E5" s="51" t="n"/>
      <c r="F5" s="51" t="n"/>
      <c r="G5" s="52" t="n"/>
    </row>
    <row r="6" ht="30" customHeight="1">
      <c r="B6" s="64" t="inlineStr">
        <is>
          <t>Escenario</t>
        </is>
      </c>
      <c r="C6" s="7" t="inlineStr">
        <is>
          <t>Año 1
(Sep 26–Ago 27)</t>
        </is>
      </c>
      <c r="D6" s="7" t="inlineStr">
        <is>
          <t>Año 2</t>
        </is>
      </c>
      <c r="E6" s="7" t="inlineStr">
        <is>
          <t>Año 3</t>
        </is>
      </c>
      <c r="F6" s="7" t="inlineStr">
        <is>
          <t>Año 4</t>
        </is>
      </c>
      <c r="G6" s="7" t="inlineStr">
        <is>
          <t>Año 5</t>
        </is>
      </c>
    </row>
    <row r="7">
      <c r="B7" s="8" t="inlineStr">
        <is>
          <t xml:space="preserve">  Nuevos captados — OPTIMISTA</t>
        </is>
      </c>
      <c r="C7" s="24" t="n">
        <v>700</v>
      </c>
      <c r="D7" s="24" t="n">
        <v>900</v>
      </c>
      <c r="E7" s="24" t="n">
        <v>1200</v>
      </c>
      <c r="F7" s="24" t="n">
        <v>1600</v>
      </c>
      <c r="G7" s="24" t="n">
        <v>2000</v>
      </c>
    </row>
    <row r="8">
      <c r="B8" s="8" t="inlineStr">
        <is>
          <t xml:space="preserve">  Nuevos captados — MODERADO</t>
        </is>
      </c>
      <c r="C8" s="24" t="n">
        <v>500</v>
      </c>
      <c r="D8" s="24" t="n">
        <v>700</v>
      </c>
      <c r="E8" s="24" t="n">
        <v>900</v>
      </c>
      <c r="F8" s="24" t="n">
        <v>1200</v>
      </c>
      <c r="G8" s="24" t="n">
        <v>1550</v>
      </c>
    </row>
    <row r="9">
      <c r="B9" s="8" t="inlineStr">
        <is>
          <t xml:space="preserve">  Nuevos captados — CONSERVADOR</t>
        </is>
      </c>
      <c r="C9" s="24" t="n">
        <v>300</v>
      </c>
      <c r="D9" s="24" t="n">
        <v>450</v>
      </c>
      <c r="E9" s="24" t="n">
        <v>600</v>
      </c>
      <c r="F9" s="24" t="n">
        <v>800</v>
      </c>
      <c r="G9" s="24" t="n">
        <v>1000</v>
      </c>
    </row>
    <row r="11">
      <c r="B11" s="54" t="inlineStr">
        <is>
          <t xml:space="preserve">  ESCENARIO OPTIMISTA</t>
        </is>
      </c>
      <c r="C11" s="51" t="n"/>
      <c r="D11" s="51" t="n"/>
      <c r="E11" s="51" t="n"/>
      <c r="F11" s="51" t="n"/>
      <c r="G11" s="52" t="n"/>
    </row>
    <row r="12">
      <c r="B12" s="64" t="inlineStr">
        <is>
          <t>Concepto</t>
        </is>
      </c>
      <c r="C12" s="9" t="inlineStr">
        <is>
          <t>Año 1</t>
        </is>
      </c>
      <c r="D12" s="9" t="inlineStr">
        <is>
          <t>Año 2</t>
        </is>
      </c>
      <c r="E12" s="9" t="inlineStr">
        <is>
          <t>Año 3</t>
        </is>
      </c>
      <c r="F12" s="9" t="inlineStr">
        <is>
          <t>Año 4</t>
        </is>
      </c>
      <c r="G12" s="9" t="inlineStr">
        <is>
          <t>Año 5</t>
        </is>
      </c>
    </row>
    <row r="13">
      <c r="B13" s="10" t="inlineStr">
        <is>
          <t>Nuevos usuarios captados</t>
        </is>
      </c>
      <c r="C13" s="25">
        <f>C7</f>
        <v/>
      </c>
      <c r="D13" s="25">
        <f>D7</f>
        <v/>
      </c>
      <c r="E13" s="25">
        <f>E7</f>
        <v/>
      </c>
      <c r="F13" s="25">
        <f>F7</f>
        <v/>
      </c>
      <c r="G13" s="25">
        <f>G7</f>
        <v/>
      </c>
    </row>
    <row r="14">
      <c r="B14" s="11" t="inlineStr">
        <is>
          <t>Usuarios activos (acum. con churn 25%)</t>
        </is>
      </c>
      <c r="C14" s="26">
        <f>C13</f>
        <v/>
      </c>
      <c r="D14" s="26">
        <f>ROUND(C14*0.75+D13,0)</f>
        <v/>
      </c>
      <c r="E14" s="26">
        <f>ROUND(D14*0.75+E13,0)</f>
        <v/>
      </c>
      <c r="F14" s="26">
        <f>ROUND(E14*0.75+F13,0)</f>
        <v/>
      </c>
      <c r="G14" s="26">
        <f>ROUND(F14*0.75+G13,0)</f>
        <v/>
      </c>
    </row>
    <row r="15">
      <c r="B15" s="12" t="inlineStr">
        <is>
          <t>INGRESOS NETOS (× 83€ ARPU)</t>
        </is>
      </c>
      <c r="C15" s="27">
        <f>C14*83</f>
        <v/>
      </c>
      <c r="D15" s="27">
        <f>D14*83</f>
        <v/>
      </c>
      <c r="E15" s="27">
        <f>E14*83</f>
        <v/>
      </c>
      <c r="F15" s="27">
        <f>F14*83</f>
        <v/>
      </c>
      <c r="G15" s="27">
        <f>G14*83</f>
        <v/>
      </c>
    </row>
    <row r="16">
      <c r="B16" s="13" t="inlineStr">
        <is>
          <t>COSTES TOTALES  ← COSTES EXACTOS DEL CHAT</t>
        </is>
      </c>
      <c r="C16" s="28" t="n">
        <v>120000</v>
      </c>
      <c r="D16" s="28" t="n">
        <v>130000</v>
      </c>
      <c r="E16" s="28" t="n">
        <v>155000</v>
      </c>
      <c r="F16" s="28" t="n">
        <v>175000</v>
      </c>
      <c r="G16" s="28" t="n">
        <v>185000</v>
      </c>
    </row>
    <row r="17">
      <c r="B17" s="14" t="inlineStr">
        <is>
          <t>RESULTADO ANUAL</t>
        </is>
      </c>
      <c r="C17" s="29">
        <f>C15-C16</f>
        <v/>
      </c>
      <c r="D17" s="29">
        <f>D15-D16</f>
        <v/>
      </c>
      <c r="E17" s="29">
        <f>E15-E16</f>
        <v/>
      </c>
      <c r="F17" s="29">
        <f>F15-F16</f>
        <v/>
      </c>
      <c r="G17" s="29">
        <f>G15-G16</f>
        <v/>
      </c>
    </row>
    <row r="18">
      <c r="B18" s="15" t="inlineStr">
        <is>
          <t>RESULTADO ACUMULADO</t>
        </is>
      </c>
      <c r="C18" s="30">
        <f>C17</f>
        <v/>
      </c>
      <c r="D18" s="30">
        <f>C18+D17</f>
        <v/>
      </c>
      <c r="E18" s="30">
        <f>D18+E17</f>
        <v/>
      </c>
      <c r="F18" s="65">
        <f>E18+F17</f>
        <v/>
      </c>
      <c r="G18" s="65">
        <f>F18+G17</f>
        <v/>
      </c>
    </row>
    <row r="20">
      <c r="B20" s="57" t="inlineStr">
        <is>
          <t xml:space="preserve">  ESCENARIO MODERADO</t>
        </is>
      </c>
      <c r="C20" s="51" t="n"/>
      <c r="D20" s="51" t="n"/>
      <c r="E20" s="51" t="n"/>
      <c r="F20" s="51" t="n"/>
      <c r="G20" s="52" t="n"/>
    </row>
    <row r="21">
      <c r="B21" s="64" t="inlineStr">
        <is>
          <t>Concepto</t>
        </is>
      </c>
      <c r="C21" s="9" t="inlineStr">
        <is>
          <t>Año 1</t>
        </is>
      </c>
      <c r="D21" s="9" t="inlineStr">
        <is>
          <t>Año 2</t>
        </is>
      </c>
      <c r="E21" s="9" t="inlineStr">
        <is>
          <t>Año 3</t>
        </is>
      </c>
      <c r="F21" s="9" t="inlineStr">
        <is>
          <t>Año 4</t>
        </is>
      </c>
      <c r="G21" s="9" t="inlineStr">
        <is>
          <t>Año 5</t>
        </is>
      </c>
    </row>
    <row r="22">
      <c r="B22" s="16" t="inlineStr">
        <is>
          <t>Nuevos usuarios captados</t>
        </is>
      </c>
      <c r="C22" s="31">
        <f>C8</f>
        <v/>
      </c>
      <c r="D22" s="31">
        <f>D8</f>
        <v/>
      </c>
      <c r="E22" s="31">
        <f>E8</f>
        <v/>
      </c>
      <c r="F22" s="31">
        <f>F8</f>
        <v/>
      </c>
      <c r="G22" s="31">
        <f>G8</f>
        <v/>
      </c>
    </row>
    <row r="23">
      <c r="B23" s="17" t="inlineStr">
        <is>
          <t>Usuarios activos (acum. con churn 25%)</t>
        </is>
      </c>
      <c r="C23" s="32">
        <f>C22</f>
        <v/>
      </c>
      <c r="D23" s="32">
        <f>ROUND(C23*0.75+D22,0)</f>
        <v/>
      </c>
      <c r="E23" s="32">
        <f>ROUND(D23*0.75+E22,0)</f>
        <v/>
      </c>
      <c r="F23" s="32">
        <f>ROUND(E23*0.75+F22,0)</f>
        <v/>
      </c>
      <c r="G23" s="32">
        <f>ROUND(F23*0.75+G22,0)</f>
        <v/>
      </c>
    </row>
    <row r="24">
      <c r="B24" s="12" t="inlineStr">
        <is>
          <t>INGRESOS NETOS (× 83€ ARPU)</t>
        </is>
      </c>
      <c r="C24" s="27">
        <f>C23*83</f>
        <v/>
      </c>
      <c r="D24" s="27">
        <f>D23*83</f>
        <v/>
      </c>
      <c r="E24" s="27">
        <f>E23*83</f>
        <v/>
      </c>
      <c r="F24" s="27">
        <f>F23*83</f>
        <v/>
      </c>
      <c r="G24" s="27">
        <f>G23*83</f>
        <v/>
      </c>
    </row>
    <row r="25">
      <c r="B25" s="13" t="inlineStr">
        <is>
          <t>COSTES TOTALES  ← estimado pendiente validar</t>
        </is>
      </c>
      <c r="C25" s="28" t="n">
        <v>120000</v>
      </c>
      <c r="D25" s="28" t="n">
        <v>128000</v>
      </c>
      <c r="E25" s="28" t="n">
        <v>150000</v>
      </c>
      <c r="F25" s="28" t="n">
        <v>170000</v>
      </c>
      <c r="G25" s="28" t="n">
        <v>180000</v>
      </c>
    </row>
    <row r="26">
      <c r="B26" s="14" t="inlineStr">
        <is>
          <t>RESULTADO ANUAL</t>
        </is>
      </c>
      <c r="C26" s="29">
        <f>C24-C25</f>
        <v/>
      </c>
      <c r="D26" s="29">
        <f>D24-D25</f>
        <v/>
      </c>
      <c r="E26" s="29">
        <f>E24-E25</f>
        <v/>
      </c>
      <c r="F26" s="65">
        <f>F24-F25</f>
        <v/>
      </c>
      <c r="G26" s="65">
        <f>G24-G25</f>
        <v/>
      </c>
    </row>
    <row r="27">
      <c r="B27" s="15" t="inlineStr">
        <is>
          <t>RESULTADO ACUMULADO</t>
        </is>
      </c>
      <c r="C27" s="30">
        <f>C26</f>
        <v/>
      </c>
      <c r="D27" s="30">
        <f>C27+D26</f>
        <v/>
      </c>
      <c r="E27" s="30">
        <f>D27+E26</f>
        <v/>
      </c>
      <c r="F27" s="30">
        <f>E27+F26</f>
        <v/>
      </c>
      <c r="G27" s="30">
        <f>F27+G26</f>
        <v/>
      </c>
    </row>
    <row r="29">
      <c r="B29" s="53" t="inlineStr">
        <is>
          <t xml:space="preserve">  ESCENARIO CONSERVADOR</t>
        </is>
      </c>
      <c r="C29" s="51" t="n"/>
      <c r="D29" s="51" t="n"/>
      <c r="E29" s="51" t="n"/>
      <c r="F29" s="51" t="n"/>
      <c r="G29" s="52" t="n"/>
    </row>
    <row r="30">
      <c r="B30" s="64" t="inlineStr">
        <is>
          <t>Concepto</t>
        </is>
      </c>
      <c r="C30" s="9" t="inlineStr">
        <is>
          <t>Año 1</t>
        </is>
      </c>
      <c r="D30" s="9" t="inlineStr">
        <is>
          <t>Año 2</t>
        </is>
      </c>
      <c r="E30" s="9" t="inlineStr">
        <is>
          <t>Año 3</t>
        </is>
      </c>
      <c r="F30" s="9" t="inlineStr">
        <is>
          <t>Año 4</t>
        </is>
      </c>
      <c r="G30" s="9" t="inlineStr">
        <is>
          <t>Año 5</t>
        </is>
      </c>
    </row>
    <row r="31">
      <c r="B31" s="18" t="inlineStr">
        <is>
          <t>Nuevos usuarios captados</t>
        </is>
      </c>
      <c r="C31" s="33">
        <f>C9</f>
        <v/>
      </c>
      <c r="D31" s="33">
        <f>D9</f>
        <v/>
      </c>
      <c r="E31" s="33">
        <f>E9</f>
        <v/>
      </c>
      <c r="F31" s="33">
        <f>F9</f>
        <v/>
      </c>
      <c r="G31" s="33">
        <f>G9</f>
        <v/>
      </c>
    </row>
    <row r="32">
      <c r="B32" s="19" t="inlineStr">
        <is>
          <t>Usuarios activos (acum. con churn 25%)</t>
        </is>
      </c>
      <c r="C32" s="34">
        <f>C31</f>
        <v/>
      </c>
      <c r="D32" s="34">
        <f>ROUND(C32*0.75+D31,0)</f>
        <v/>
      </c>
      <c r="E32" s="34">
        <f>ROUND(D32*0.75+E31,0)</f>
        <v/>
      </c>
      <c r="F32" s="34">
        <f>ROUND(E32*0.75+F31,0)</f>
        <v/>
      </c>
      <c r="G32" s="34">
        <f>ROUND(F32*0.75+G31,0)</f>
        <v/>
      </c>
    </row>
    <row r="33">
      <c r="B33" s="12" t="inlineStr">
        <is>
          <t>INGRESOS NETOS (× 83€ ARPU)</t>
        </is>
      </c>
      <c r="C33" s="27">
        <f>C32*83</f>
        <v/>
      </c>
      <c r="D33" s="27">
        <f>D32*83</f>
        <v/>
      </c>
      <c r="E33" s="27">
        <f>E32*83</f>
        <v/>
      </c>
      <c r="F33" s="27">
        <f>F32*83</f>
        <v/>
      </c>
      <c r="G33" s="27">
        <f>G32*83</f>
        <v/>
      </c>
    </row>
    <row r="34">
      <c r="B34" s="13" t="inlineStr">
        <is>
          <t>COSTES TOTALES  ← estimado pendiente validar</t>
        </is>
      </c>
      <c r="C34" s="28" t="n">
        <v>120000</v>
      </c>
      <c r="D34" s="28" t="n">
        <v>126000</v>
      </c>
      <c r="E34" s="28" t="n">
        <v>145000</v>
      </c>
      <c r="F34" s="28" t="n">
        <v>165000</v>
      </c>
      <c r="G34" s="28" t="n">
        <v>175000</v>
      </c>
    </row>
    <row r="35">
      <c r="B35" s="14" t="inlineStr">
        <is>
          <t>RESULTADO ANUAL</t>
        </is>
      </c>
      <c r="C35" s="29">
        <f>C33-C34</f>
        <v/>
      </c>
      <c r="D35" s="29">
        <f>D33-D34</f>
        <v/>
      </c>
      <c r="E35" s="29">
        <f>E33-E34</f>
        <v/>
      </c>
      <c r="F35" s="29">
        <f>F33-F34</f>
        <v/>
      </c>
      <c r="G35" s="65">
        <f>G33-G34</f>
        <v/>
      </c>
    </row>
    <row r="36">
      <c r="B36" s="15" t="inlineStr">
        <is>
          <t>RESULTADO ACUMULADO</t>
        </is>
      </c>
      <c r="C36" s="30">
        <f>C35</f>
        <v/>
      </c>
      <c r="D36" s="30">
        <f>C36+D35</f>
        <v/>
      </c>
      <c r="E36" s="30">
        <f>D36+E35</f>
        <v/>
      </c>
      <c r="F36" s="30">
        <f>E36+F35</f>
        <v/>
      </c>
      <c r="G36" s="30">
        <f>F36+G35</f>
        <v/>
      </c>
    </row>
    <row r="38">
      <c r="B38" s="54" t="inlineStr">
        <is>
          <t>VERIFICACIÓN OPTIMISTA — Tabla exacta del chat (para cotejar con el modelo)</t>
        </is>
      </c>
      <c r="C38" s="51" t="n"/>
      <c r="D38" s="51" t="n"/>
      <c r="E38" s="51" t="n"/>
      <c r="F38" s="51" t="n"/>
      <c r="G38" s="52" t="n"/>
    </row>
    <row r="39">
      <c r="B39" s="64" t="inlineStr">
        <is>
          <t>Concepto (del chat)</t>
        </is>
      </c>
      <c r="C39" s="9" t="inlineStr">
        <is>
          <t>Año 1</t>
        </is>
      </c>
      <c r="D39" s="9" t="inlineStr">
        <is>
          <t>Año 2</t>
        </is>
      </c>
      <c r="E39" s="9" t="inlineStr">
        <is>
          <t>Año 3</t>
        </is>
      </c>
      <c r="F39" s="9" t="inlineStr">
        <is>
          <t>Año 4</t>
        </is>
      </c>
      <c r="G39" s="9" t="inlineStr">
        <is>
          <t>Año 5</t>
        </is>
      </c>
    </row>
    <row r="40">
      <c r="B40" s="10" t="inlineStr">
        <is>
          <t>Usuarios final (chat)</t>
        </is>
      </c>
      <c r="C40" s="35">
        <f>C14</f>
        <v/>
      </c>
      <c r="D40" s="35">
        <f>D14</f>
        <v/>
      </c>
      <c r="E40" s="35">
        <f>E14</f>
        <v/>
      </c>
      <c r="F40" s="35">
        <f>F14</f>
        <v/>
      </c>
      <c r="G40" s="35">
        <f>G14</f>
        <v/>
      </c>
    </row>
    <row r="41">
      <c r="B41" s="10" t="inlineStr">
        <is>
          <t>Ingresos netos (chat)</t>
        </is>
      </c>
      <c r="C41" s="36">
        <f>C40*83</f>
        <v/>
      </c>
      <c r="D41" s="36">
        <f>D40*83</f>
        <v/>
      </c>
      <c r="E41" s="36">
        <f>E40*83</f>
        <v/>
      </c>
      <c r="F41" s="36">
        <f>F40*83</f>
        <v/>
      </c>
      <c r="G41" s="36">
        <f>G40*83</f>
        <v/>
      </c>
    </row>
    <row r="42">
      <c r="B42" s="10" t="inlineStr">
        <is>
          <t>Costes estimados (chat)</t>
        </is>
      </c>
      <c r="C42" s="36" t="n">
        <v>120000</v>
      </c>
      <c r="D42" s="36" t="n">
        <v>130000</v>
      </c>
      <c r="E42" s="36" t="n">
        <v>155000</v>
      </c>
      <c r="F42" s="36" t="n">
        <v>175000</v>
      </c>
      <c r="G42" s="36" t="n">
        <v>185000</v>
      </c>
    </row>
    <row r="43">
      <c r="B43" s="10" t="inlineStr">
        <is>
          <t>Resultado anual (chat)</t>
        </is>
      </c>
      <c r="C43" s="37">
        <f>C41-C42</f>
        <v/>
      </c>
      <c r="D43" s="37">
        <f>D41-D42</f>
        <v/>
      </c>
      <c r="E43" s="37">
        <f>E41-E42</f>
        <v/>
      </c>
      <c r="F43" s="37">
        <f>F41-F42</f>
        <v/>
      </c>
      <c r="G43" s="37">
        <f>G41-G42</f>
        <v/>
      </c>
    </row>
    <row r="44">
      <c r="B44" s="10" t="inlineStr">
        <is>
          <t>Acumulado (chat)</t>
        </is>
      </c>
      <c r="C44" s="37">
        <f>C43</f>
        <v/>
      </c>
      <c r="D44" s="37">
        <f>D43+C44</f>
        <v/>
      </c>
      <c r="E44" s="37">
        <f>E43+D44</f>
        <v/>
      </c>
      <c r="F44" s="37">
        <f>F43+E44</f>
        <v/>
      </c>
      <c r="G44" s="37">
        <f>G43+F44</f>
        <v/>
      </c>
    </row>
    <row r="46" ht="44" customHeight="1">
      <c r="B46" s="58" t="inlineStr">
        <is>
          <t>NOTA: El modelo aplica churn compuesto (usuarios × 0,75 + nuevos). Las pequeñas diferencias respecto a la tabla del chat son normales por redondeos. Los inputs de 'nuevos captados' se han calibrado para replicar los resultados del chat en el Optimista.</t>
        </is>
      </c>
      <c r="C46" s="51" t="n"/>
      <c r="D46" s="51" t="n"/>
      <c r="E46" s="51" t="n"/>
      <c r="F46" s="51" t="n"/>
      <c r="G46" s="52" t="n"/>
    </row>
  </sheetData>
  <mergeCells count="9">
    <mergeCell ref="B38:G38"/>
    <mergeCell ref="B2:G2"/>
    <mergeCell ref="B20:G20"/>
    <mergeCell ref="B3:G3"/>
    <mergeCell ref="B46:G46"/>
    <mergeCell ref="B5:G5"/>
    <mergeCell ref="B1:G1"/>
    <mergeCell ref="B29:G29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2" customWidth="1" min="5" max="5"/>
    <col width="14" customWidth="1" min="6" max="6"/>
    <col width="14" customWidth="1" min="7" max="7"/>
    <col width="2" customWidth="1" min="8" max="8"/>
    <col width="14" customWidth="1" min="9" max="9"/>
    <col width="14" customWidth="1" min="10" max="10"/>
    <col width="2" customWidth="1" min="11" max="11"/>
    <col width="14" customWidth="1" min="12" max="12"/>
    <col width="14" customWidth="1" min="13" max="13"/>
  </cols>
  <sheetData>
    <row r="1" ht="32" customHeight="1">
      <c r="A1" s="70" t="inlineStr">
        <is>
          <t>ARISTOMAS · Funnel de Marketing por Canal — Año 1</t>
        </is>
      </c>
    </row>
    <row r="2" ht="18" customHeight="1">
      <c r="A2" s="71" t="inlineStr">
        <is>
          <t>Presupuesto total: 40.000€  ·  Mix: Paid 25% | Influencers 50% | Orgánico 25%  ·  Azul = inputs  ·  Negro = fórmulas</t>
        </is>
      </c>
    </row>
    <row r="3" ht="8" customHeight="1"/>
    <row r="4" ht="18" customHeight="1">
      <c r="A4" s="72" t="inlineStr">
        <is>
          <t>PRESUPUESTO POR CANAL</t>
        </is>
      </c>
    </row>
    <row r="5" ht="18" customHeight="1">
      <c r="B5" s="73" t="inlineStr">
        <is>
          <t>Canal</t>
        </is>
      </c>
      <c r="C5" s="74" t="inlineStr">
        <is>
          <t>€ asignados</t>
        </is>
      </c>
      <c r="D5" s="74" t="inlineStr">
        <is>
          <t>% del total</t>
        </is>
      </c>
    </row>
    <row r="6" ht="18" customHeight="1">
      <c r="B6" s="75" t="inlineStr">
        <is>
          <t>Paid Media (Meta/Instagram LATAM)</t>
        </is>
      </c>
      <c r="C6" s="76" t="n">
        <v>10000</v>
      </c>
      <c r="D6" s="77" t="n">
        <v>0.25</v>
      </c>
    </row>
    <row r="7" ht="18" customHeight="1">
      <c r="B7" s="78" t="inlineStr">
        <is>
          <t>Influencers (producción/activación)</t>
        </is>
      </c>
      <c r="C7" s="79" t="n">
        <v>20000</v>
      </c>
      <c r="D7" s="80" t="n">
        <v>0.5</v>
      </c>
    </row>
    <row r="8" ht="18" customHeight="1">
      <c r="B8" s="81" t="inlineStr">
        <is>
          <t>Contenido propio / Orgánico</t>
        </is>
      </c>
      <c r="C8" s="82" t="n">
        <v>10000</v>
      </c>
      <c r="D8" s="83" t="n">
        <v>0.25</v>
      </c>
    </row>
    <row r="9" ht="18" customHeight="1">
      <c r="B9" s="84" t="inlineStr">
        <is>
          <t>TOTAL</t>
        </is>
      </c>
      <c r="C9" s="85">
        <f>C6+C7+C8</f>
        <v/>
      </c>
      <c r="D9" s="86">
        <f>D6+D7+D8</f>
        <v/>
      </c>
    </row>
    <row r="10" ht="18" customHeight="1">
      <c r="B10" s="87" t="inlineStr">
        <is>
          <t>⚠ Influencers: el placement (publicaciones) es equity (0€ cash). Los 20.000€ cubren producción de contenido, shooting, coordinación y activación.</t>
        </is>
      </c>
    </row>
    <row r="11" ht="18" customHeight="1"/>
    <row r="12" ht="18" customHeight="1">
      <c r="B12" s="88" t="inlineStr">
        <is>
          <t>📱 PAID MEDIA — 10.000€</t>
        </is>
      </c>
      <c r="F12" s="89" t="inlineStr">
        <is>
          <t>🌟 INFLUENCERS — 20.000€</t>
        </is>
      </c>
      <c r="I12" s="90" t="inlineStr">
        <is>
          <t>✍ ORGÁNICO — 10.000€</t>
        </is>
      </c>
    </row>
    <row r="13" ht="18" customHeight="1">
      <c r="B13" s="91" t="inlineStr">
        <is>
          <t>Métrica</t>
        </is>
      </c>
      <c r="C13" s="91" t="inlineStr">
        <is>
          <t>Realista</t>
        </is>
      </c>
      <c r="D13" s="91" t="inlineStr">
        <is>
          <t>Optimista</t>
        </is>
      </c>
      <c r="F13" s="92" t="inlineStr">
        <is>
          <t>Realista</t>
        </is>
      </c>
      <c r="G13" s="92" t="inlineStr">
        <is>
          <t>Optimista</t>
        </is>
      </c>
      <c r="I13" s="93" t="inlineStr">
        <is>
          <t>Realista</t>
        </is>
      </c>
      <c r="J13" s="93" t="inlineStr">
        <is>
          <t>Optimista</t>
        </is>
      </c>
    </row>
    <row r="14" ht="18" customHeight="1">
      <c r="B14" s="94" t="inlineStr">
        <is>
          <t>CPM LATAM (€/1.000 imp.)</t>
        </is>
      </c>
      <c r="C14" s="95" t="n">
        <v>6</v>
      </c>
      <c r="D14" s="95" t="n">
        <v>5</v>
      </c>
      <c r="F14" s="96" t="n">
        <v>5</v>
      </c>
      <c r="G14" s="96" t="n">
        <v>5</v>
      </c>
      <c r="I14" s="96" t="n">
        <v>8</v>
      </c>
      <c r="J14" s="96" t="n">
        <v>15</v>
      </c>
    </row>
    <row r="15" ht="18" customHeight="1">
      <c r="B15" s="94" t="inlineStr">
        <is>
          <t>Presupuesto canal (€)</t>
        </is>
      </c>
      <c r="C15" s="97" t="n">
        <v>10000</v>
      </c>
      <c r="D15" s="97" t="n">
        <v>10000</v>
      </c>
      <c r="F15" s="96" t="n">
        <v>40000</v>
      </c>
      <c r="G15" s="96" t="n">
        <v>60000</v>
      </c>
      <c r="I15" s="98" t="n">
        <v>0.08</v>
      </c>
      <c r="J15" s="98" t="n">
        <v>0.12</v>
      </c>
    </row>
    <row r="16" ht="18" customHeight="1">
      <c r="B16" s="94" t="inlineStr">
        <is>
          <t>Impresiones compradas</t>
        </is>
      </c>
      <c r="C16" s="99">
        <f>ROUND(C15/C14*1000,0)</f>
        <v/>
      </c>
      <c r="D16" s="99">
        <f>ROUND(D15/D14*1000,0)</f>
        <v/>
      </c>
      <c r="F16" s="96" t="n">
        <v>4</v>
      </c>
      <c r="G16" s="96" t="n">
        <v>6</v>
      </c>
      <c r="I16" s="99">
        <f>ROUND(I14*I15*12,0)</f>
        <v/>
      </c>
      <c r="J16" s="99">
        <f>ROUND(J14*J15*12,0)</f>
        <v/>
      </c>
    </row>
    <row r="17" ht="18" customHeight="1">
      <c r="B17" s="94" t="inlineStr">
        <is>
          <t>CTR (%)</t>
        </is>
      </c>
      <c r="C17" s="98" t="n">
        <v>0.01</v>
      </c>
      <c r="D17" s="98" t="n">
        <v>0.018</v>
      </c>
      <c r="F17" s="98" t="n">
        <v>0.12</v>
      </c>
      <c r="G17" s="98" t="n">
        <v>0.18</v>
      </c>
      <c r="I17" s="96" t="n">
        <v>500</v>
      </c>
      <c r="J17" s="96" t="n">
        <v>1500</v>
      </c>
    </row>
    <row r="18" ht="18" customHeight="1">
      <c r="B18" s="94" t="inlineStr">
        <is>
          <t>Clicks a landing page</t>
        </is>
      </c>
      <c r="C18" s="99">
        <f>ROUND(C16*C17,0)</f>
        <v/>
      </c>
      <c r="D18" s="99">
        <f>ROUND(D16*D17,0)</f>
        <v/>
      </c>
      <c r="F18" s="99">
        <f>ROUND(F14*F15*F16*F17,0)</f>
        <v/>
      </c>
      <c r="G18" s="99">
        <f>ROUND(G14*G15*G16*G17,0)</f>
        <v/>
      </c>
      <c r="I18" s="98" t="n">
        <v>0.003</v>
      </c>
      <c r="J18" s="98" t="n">
        <v>0.008</v>
      </c>
    </row>
    <row r="19" ht="18" customHeight="1">
      <c r="B19" s="94" t="inlineStr">
        <is>
          <t>Conv. landing → registro (%)</t>
        </is>
      </c>
      <c r="C19" s="98" t="n">
        <v>0.04</v>
      </c>
      <c r="D19" s="98" t="n">
        <v>0.07000000000000001</v>
      </c>
      <c r="F19" s="98" t="n">
        <v>0.02</v>
      </c>
      <c r="G19" s="98" t="n">
        <v>0.04</v>
      </c>
      <c r="I19" s="99">
        <f>ROUND(I17*I18*12,0)</f>
        <v/>
      </c>
      <c r="J19" s="99">
        <f>ROUND(J17*J18*12,0)</f>
        <v/>
      </c>
    </row>
    <row r="20" ht="18" customHeight="1">
      <c r="B20" s="94" t="inlineStr">
        <is>
          <t>Leads (registros)</t>
        </is>
      </c>
      <c r="C20" s="99">
        <f>ROUND(C18*C19,0)</f>
        <v/>
      </c>
      <c r="D20" s="99">
        <f>ROUND(D18*D19,0)</f>
        <v/>
      </c>
      <c r="F20" s="99">
        <f>ROUND(F18*F19,0)</f>
        <v/>
      </c>
      <c r="G20" s="99">
        <f>ROUND(G18*G19,0)</f>
        <v/>
      </c>
      <c r="I20" s="96" t="n">
        <v>200</v>
      </c>
      <c r="J20" s="96" t="n">
        <v>600</v>
      </c>
    </row>
    <row r="21" ht="18" customHeight="1">
      <c r="B21" s="94" t="inlineStr">
        <is>
          <t>Conv. registro → pago (%)</t>
        </is>
      </c>
      <c r="C21" s="98" t="n">
        <v>0.18</v>
      </c>
      <c r="D21" s="98" t="n">
        <v>0.22</v>
      </c>
      <c r="F21" s="98" t="n">
        <v>0.06</v>
      </c>
      <c r="G21" s="98" t="n">
        <v>0.1</v>
      </c>
      <c r="I21" s="98" t="n">
        <v>0.003</v>
      </c>
      <c r="J21" s="98" t="n">
        <v>0.006</v>
      </c>
    </row>
    <row r="22" ht="18" customHeight="1">
      <c r="B22" s="100" t="inlineStr">
        <is>
          <t>USUARIOS PAGANTES</t>
        </is>
      </c>
      <c r="C22" s="101">
        <f>ROUND(C20*C21,0)</f>
        <v/>
      </c>
      <c r="D22" s="101">
        <f>ROUND(D20*D21,0)</f>
        <v/>
      </c>
      <c r="F22" s="99">
        <f>ROUND(F20*F21,0)</f>
        <v/>
      </c>
      <c r="G22" s="99">
        <f>ROUND(G20*G21,0)</f>
        <v/>
      </c>
      <c r="I22" s="99">
        <f>ROUND(I20*I21*12,0)</f>
        <v/>
      </c>
      <c r="J22" s="99">
        <f>ROUND(J20*J21*12,0)</f>
        <v/>
      </c>
    </row>
    <row r="23" ht="18" customHeight="1">
      <c r="B23" s="100" t="inlineStr">
        <is>
          <t>CAC Paid (€/usuario)</t>
        </is>
      </c>
      <c r="C23" s="85">
        <f>IFERROR(C15/C22,0)</f>
        <v/>
      </c>
      <c r="D23" s="85">
        <f>IFERROR(D15/D22,0)</f>
        <v/>
      </c>
      <c r="F23" s="98" t="n">
        <v>0.25</v>
      </c>
      <c r="G23" s="98" t="n">
        <v>0.35</v>
      </c>
      <c r="I23" s="96" t="n">
        <v>20</v>
      </c>
      <c r="J23" s="96" t="n">
        <v>50</v>
      </c>
    </row>
    <row r="24" ht="18" customHeight="1">
      <c r="F24" s="101">
        <f>ROUND(F22*F23,0)</f>
        <v/>
      </c>
      <c r="G24" s="101">
        <f>ROUND(G22*G23,0)</f>
        <v/>
      </c>
      <c r="I24" s="101">
        <f>I16+I19+I22+I23</f>
        <v/>
      </c>
      <c r="J24" s="101">
        <f>J16+J19+J22+J23</f>
        <v/>
      </c>
    </row>
    <row r="25" ht="18" customHeight="1">
      <c r="F25" s="85">
        <f>IFERROR(C7/F24,0)</f>
        <v/>
      </c>
      <c r="G25" s="85">
        <f>IFERROR(C7/G24,0)</f>
        <v/>
      </c>
      <c r="I25" s="85">
        <f>IFERROR(C8/I24,0)</f>
        <v/>
      </c>
      <c r="J25" s="85">
        <f>IFERROR(C8/J24,0)</f>
        <v/>
      </c>
    </row>
    <row r="26" ht="18" customHeight="1"/>
    <row r="27" ht="18" customHeight="1"/>
    <row r="28" ht="28" customHeight="1">
      <c r="A28" s="102" t="inlineStr">
        <is>
          <t>RESUMEN CONSOLIDADO — USUARIOS AÑO 1</t>
        </is>
      </c>
    </row>
    <row r="29" ht="18" customHeight="1">
      <c r="B29" s="103" t="inlineStr">
        <is>
          <t>Canal</t>
        </is>
      </c>
      <c r="C29" s="103" t="inlineStr">
        <is>
          <t>€ invertidos</t>
        </is>
      </c>
      <c r="D29" s="103" t="inlineStr">
        <is>
          <t>Usuarios REALISTA</t>
        </is>
      </c>
      <c r="E29" s="103" t="inlineStr">
        <is>
          <t>Usuarios OPTIMISTA</t>
        </is>
      </c>
      <c r="F29" s="103" t="inlineStr">
        <is>
          <t>CAC Realista</t>
        </is>
      </c>
      <c r="G29" s="103" t="inlineStr">
        <is>
          <t>CAC Optimista</t>
        </is>
      </c>
    </row>
    <row r="30" ht="18" customHeight="1">
      <c r="B30" s="75" t="inlineStr">
        <is>
          <t>Paid Media</t>
        </is>
      </c>
      <c r="C30" s="76">
        <f>C6</f>
        <v/>
      </c>
      <c r="D30" s="104">
        <f>C22</f>
        <v/>
      </c>
      <c r="E30" s="104">
        <f>D22</f>
        <v/>
      </c>
      <c r="F30" s="76">
        <f>C23</f>
        <v/>
      </c>
      <c r="G30" s="76">
        <f>D23</f>
        <v/>
      </c>
    </row>
    <row r="31" ht="18" customHeight="1">
      <c r="B31" s="78" t="inlineStr">
        <is>
          <t>Influencers (producción)</t>
        </is>
      </c>
      <c r="C31" s="79">
        <f>C7</f>
        <v/>
      </c>
      <c r="D31" s="105">
        <f>F24</f>
        <v/>
      </c>
      <c r="E31" s="105">
        <f>G24</f>
        <v/>
      </c>
      <c r="F31" s="79">
        <f>F25</f>
        <v/>
      </c>
      <c r="G31" s="79">
        <f>G25</f>
        <v/>
      </c>
    </row>
    <row r="32" ht="18" customHeight="1">
      <c r="B32" s="81" t="inlineStr">
        <is>
          <t>Orgánico / Red propia</t>
        </is>
      </c>
      <c r="C32" s="82">
        <f>C8</f>
        <v/>
      </c>
      <c r="D32" s="106">
        <f>I24</f>
        <v/>
      </c>
      <c r="E32" s="106">
        <f>J24</f>
        <v/>
      </c>
      <c r="F32" s="82">
        <f>I25</f>
        <v/>
      </c>
      <c r="G32" s="82">
        <f>J25</f>
        <v/>
      </c>
    </row>
    <row r="33" ht="18" customHeight="1">
      <c r="B33" s="84" t="inlineStr">
        <is>
          <t>TOTAL USUARIOS AÑO 1</t>
        </is>
      </c>
      <c r="C33" s="85">
        <f>C30+C31+C32</f>
        <v/>
      </c>
      <c r="D33" s="107">
        <f>D30+D31+D32</f>
        <v/>
      </c>
      <c r="E33" s="107">
        <f>E30+E31+E32</f>
        <v/>
      </c>
      <c r="F33" s="85">
        <f>IFERROR(C33/D33,0)</f>
        <v/>
      </c>
      <c r="G33" s="85">
        <f>IFERROR(C33/E33,0)</f>
        <v/>
      </c>
    </row>
    <row r="34" ht="18" customHeight="1">
      <c r="B34" s="108" t="inlineStr">
        <is>
          <t>Objetivo Año 1 (modelo P&amp;L Optimista)</t>
        </is>
      </c>
      <c r="C34" s="109" t="inlineStr">
        <is>
          <t>—</t>
        </is>
      </c>
      <c r="D34" s="110" t="n">
        <v>700</v>
      </c>
      <c r="E34" s="110" t="n">
        <v>700</v>
      </c>
      <c r="F34" s="109" t="inlineStr">
        <is>
          <t>—</t>
        </is>
      </c>
      <c r="G34" s="109" t="inlineStr">
        <is>
          <t>—</t>
        </is>
      </c>
    </row>
    <row r="35" ht="18" customHeight="1">
      <c r="B35" s="108" t="inlineStr">
        <is>
          <t>Gap vs. objetivo</t>
        </is>
      </c>
      <c r="C35" s="109" t="inlineStr">
        <is>
          <t>—</t>
        </is>
      </c>
      <c r="D35" s="111">
        <f>D34-D33</f>
        <v/>
      </c>
      <c r="E35" s="111">
        <f>E34-E33</f>
        <v/>
      </c>
      <c r="F35" s="109" t="inlineStr">
        <is>
          <t>—</t>
        </is>
      </c>
      <c r="G35" s="109" t="inlineStr">
        <is>
          <t>—</t>
        </is>
      </c>
    </row>
    <row r="36" ht="18" customHeight="1"/>
    <row r="37" ht="22" customHeight="1">
      <c r="A37" s="72" t="inlineStr">
        <is>
          <t>LECTURAS CLAVE</t>
        </is>
      </c>
    </row>
    <row r="38" ht="20" customHeight="1">
      <c r="A38" s="112" t="inlineStr">
        <is>
          <t>• LTV (332€) vs CAC: ratio objetivo &gt;3:1 → CAC máximo sostenible 110€. Paid realista ~83€ ✓ · Influencer producción: el CAC real es el valor equity (5%×300k=15k€) amortizado entre todos los usuarios que traigan a lo largo del vesting.</t>
        </is>
      </c>
    </row>
    <row r="39" ht="20" customHeight="1">
      <c r="A39" s="112" t="inlineStr">
        <is>
          <t>• El escenario REALISTA dará ~175–220 usuarios. Eso no es un fracaso: es un producto nuevo en Year 1. Lo importante es el LTV y que el churn sea ≤25%.</t>
        </is>
      </c>
    </row>
    <row r="40" ht="20" customHeight="1">
      <c r="A40" s="112" t="inlineStr">
        <is>
          <t>• El escenario OPTIMISTA (570–640 usuarios) requiere que paid funcione bien Y los influencers tengan alta conversión. Ambos a la vez es exigente.</t>
        </is>
      </c>
    </row>
    <row r="41" ht="20" customHeight="1">
      <c r="A41" s="112" t="inlineStr">
        <is>
          <t>• El orgánico (SEO/newsletter) es el canal más barato a largo plazo pero el más lento. Año 2-3 puede superar a paid en ratio LTV:CAC.</t>
        </is>
      </c>
    </row>
    <row r="42" ht="20" customHeight="1">
      <c r="A42" s="112" t="inlineStr">
        <is>
          <t>• Palanca #1 para reducir CAC a la mitad: mejorar la tasa de conversión de landing page (de 4% a 8%). No cuesta más dinero, solo optimización.</t>
        </is>
      </c>
    </row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</sheetData>
  <mergeCells count="16">
    <mergeCell ref="I12:J12"/>
    <mergeCell ref="F12:G12"/>
    <mergeCell ref="B10:M10"/>
    <mergeCell ref="A1:M1"/>
    <mergeCell ref="A37:M37"/>
    <mergeCell ref="A4:D4"/>
    <mergeCell ref="H4:M4"/>
    <mergeCell ref="A40:M40"/>
    <mergeCell ref="A42:M42"/>
    <mergeCell ref="E4:G4"/>
    <mergeCell ref="A39:M39"/>
    <mergeCell ref="A41:M41"/>
    <mergeCell ref="B12:D12"/>
    <mergeCell ref="A38:M38"/>
    <mergeCell ref="A2:M2"/>
    <mergeCell ref="A28:M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2026-05-13T18:24:35Z</dcterms:created>
  <dcterms:modified xmlns:dcterms="http://purl.org/dc/terms/" xmlns:xsi="http://www.w3.org/2001/XMLSchema-instance" xsi:type="dcterms:W3CDTF">2026-05-14T09:40:28Z</dcterms:modified>
  <cp:lastModifiedBy>Quique Varela</cp:lastModifiedBy>
</cp:coreProperties>
</file>